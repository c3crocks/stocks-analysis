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060C7879-8F77-4D32-98D1-E507EA4F0B07}" xr6:coauthVersionLast="46" xr6:coauthVersionMax="46" xr10:uidLastSave="{00000000-0000-0000-0000-000000000000}"/>
  <bookViews>
    <workbookView xWindow="828" yWindow="-108" windowWidth="22320" windowHeight="13176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2" sheetId="5" r:id="rId5"/>
  </sheets>
  <definedNames>
    <definedName name="_xlnm._FilterDatabase" localSheetId="1" hidden="1">'2018'!$A:$A</definedName>
    <definedName name="_xlnm.Criteria" localSheetId="1">'2018'!$A:$A</definedName>
    <definedName name="_xlnm.Extract" localSheetId="1">'2018'!$K$1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2" i="2"/>
  <c r="N4" i="2"/>
  <c r="N5" i="2"/>
  <c r="N6" i="2" s="1"/>
  <c r="N7" i="2" s="1"/>
  <c r="N8" i="2" s="1"/>
  <c r="N9" i="2" s="1"/>
  <c r="N10" i="2" s="1"/>
  <c r="N11" i="2" s="1"/>
  <c r="N12" i="2" s="1"/>
  <c r="N13" i="2" s="1"/>
  <c r="N3" i="2"/>
</calcChain>
</file>

<file path=xl/sharedStrings.xml><?xml version="1.0" encoding="utf-8"?>
<sst xmlns="http://schemas.openxmlformats.org/spreadsheetml/2006/main" count="12134" uniqueCount="530">
  <si>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</si>
  <si>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</si>
  <si>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</si>
  <si>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</si>
  <si>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</si>
  <si>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</si>
  <si>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</si>
  <si>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</si>
  <si>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</si>
  <si>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</si>
  <si>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</si>
  <si>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</si>
  <si>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</si>
  <si>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</si>
  <si>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</si>
  <si>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</si>
  <si>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</si>
  <si>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</si>
  <si>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</si>
  <si>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</si>
  <si>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</si>
  <si>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</si>
  <si>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</si>
  <si>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</si>
  <si>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</si>
  <si>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</si>
  <si>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</si>
  <si>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</si>
  <si>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</si>
  <si>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</si>
  <si>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</si>
  <si>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</si>
  <si>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</si>
  <si>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</si>
  <si>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</si>
  <si>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</si>
  <si>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</si>
  <si>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</si>
  <si>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</si>
  <si>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</si>
  <si>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</si>
  <si>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</si>
  <si>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</si>
  <si>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</si>
  <si>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</si>
  <si>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</si>
  <si>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</si>
  <si>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</si>
  <si>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</si>
  <si>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</si>
  <si>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</si>
  <si>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</si>
  <si>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</si>
  <si>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</si>
  <si>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</si>
  <si>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</si>
  <si>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</si>
  <si>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</si>
  <si>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</si>
  <si>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</si>
  <si>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</si>
  <si>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</si>
  <si>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</si>
  <si>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</si>
  <si>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</si>
  <si>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</si>
  <si>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</si>
  <si>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</si>
  <si>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</si>
  <si>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</si>
  <si>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</si>
  <si>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</si>
  <si>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</si>
  <si>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</si>
  <si>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</si>
  <si>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</si>
  <si>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</si>
  <si>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</si>
  <si>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</si>
  <si>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</si>
  <si>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</si>
  <si>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</si>
  <si>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</si>
  <si>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</si>
  <si>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</si>
  <si>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</si>
  <si>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</si>
  <si>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</si>
  <si>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</si>
  <si>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</si>
  <si>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</si>
  <si>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</si>
  <si>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</si>
  <si>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</si>
  <si>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</si>
  <si>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</si>
  <si>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</si>
  <si>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</si>
  <si>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</si>
  <si>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</si>
  <si>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</si>
  <si>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</si>
  <si>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</si>
  <si>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</si>
  <si>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</si>
  <si>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</si>
  <si>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</si>
  <si>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</si>
  <si>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</si>
  <si>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</si>
  <si>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</si>
  <si>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</si>
  <si>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</si>
  <si>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</si>
  <si>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</si>
  <si>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</si>
  <si>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</si>
  <si>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</si>
  <si>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</si>
  <si>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</si>
  <si>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</si>
  <si>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</si>
  <si>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</si>
  <si>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</si>
  <si>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</si>
  <si>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</si>
  <si>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</si>
  <si>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</si>
  <si>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</si>
  <si>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</si>
  <si>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</si>
  <si>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</si>
  <si>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</si>
  <si>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</si>
  <si>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</si>
  <si>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</si>
  <si>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</si>
  <si>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</si>
  <si>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</si>
  <si>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</si>
  <si>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</si>
  <si>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</si>
  <si>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</si>
  <si>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</si>
  <si>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</si>
  <si>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</si>
  <si>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</si>
  <si>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</si>
  <si>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</si>
  <si>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</si>
  <si>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</si>
  <si>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</si>
  <si>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</si>
  <si>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</si>
  <si>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</si>
  <si>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</si>
  <si>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</si>
  <si>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</si>
  <si>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</si>
  <si>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</si>
  <si>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</si>
  <si>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</si>
  <si>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</si>
  <si>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</si>
  <si>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</si>
  <si>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</si>
  <si>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</si>
  <si>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</si>
  <si>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</si>
  <si>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</si>
  <si>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</si>
  <si>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</si>
  <si>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</si>
  <si>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</si>
  <si>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</si>
  <si>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</si>
  <si>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</si>
  <si>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</si>
  <si>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</si>
  <si>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</si>
  <si>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</si>
  <si>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</si>
  <si>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</si>
  <si>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</si>
  <si>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</si>
  <si>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</si>
  <si>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</si>
  <si>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</si>
  <si>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</si>
  <si>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</si>
  <si>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</si>
  <si>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</si>
  <si>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</si>
  <si>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</si>
  <si>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</si>
  <si>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</si>
  <si>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</si>
  <si>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</si>
  <si>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</si>
  <si>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</si>
  <si>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</si>
  <si>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</si>
  <si>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</si>
  <si>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</si>
  <si>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</si>
  <si>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</si>
  <si>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</si>
  <si>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</si>
  <si>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</si>
  <si>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</si>
  <si>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</si>
  <si>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</si>
  <si>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</si>
  <si>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</si>
  <si>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</si>
  <si>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</si>
  <si>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</si>
  <si>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</si>
  <si>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</si>
  <si>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</si>
  <si>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</si>
  <si>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</si>
  <si>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</si>
  <si>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</si>
  <si>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</si>
  <si>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</si>
  <si>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</si>
  <si>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</si>
  <si>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</si>
  <si>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</si>
  <si>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</si>
  <si>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</si>
  <si>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</si>
  <si>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</si>
  <si>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</si>
  <si>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</si>
  <si>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</si>
  <si>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</si>
  <si>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</si>
  <si>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</si>
  <si>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</si>
  <si>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</si>
  <si>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</si>
  <si>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</si>
  <si>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</si>
  <si>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</si>
  <si>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</si>
  <si>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</si>
  <si>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</si>
  <si>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</si>
  <si>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</si>
  <si>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</si>
  <si>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</si>
  <si>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</si>
  <si>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</si>
  <si>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</si>
  <si>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</si>
  <si>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</si>
  <si>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</si>
  <si>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</si>
  <si>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</si>
  <si>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</si>
  <si>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</si>
  <si>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</si>
  <si>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</si>
  <si>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</si>
  <si>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</si>
  <si>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</si>
  <si>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</si>
  <si>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</si>
  <si>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</si>
  <si>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</si>
  <si>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</si>
  <si>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</si>
  <si>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</si>
  <si>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</si>
  <si>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</si>
  <si>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</si>
  <si>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</si>
  <si>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</si>
  <si>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</si>
  <si>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</si>
  <si>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</si>
  <si>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</si>
  <si>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</si>
  <si>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</si>
  <si>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</si>
  <si>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</si>
  <si>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</si>
  <si>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</si>
  <si>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</si>
  <si>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</si>
  <si>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</si>
  <si>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</si>
  <si>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</si>
  <si>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</si>
  <si>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</si>
  <si>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</si>
  <si>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</si>
  <si>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</si>
  <si>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</si>
  <si>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</si>
  <si>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</si>
  <si>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</si>
  <si>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</si>
  <si>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</si>
  <si>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</si>
  <si>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</si>
  <si>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</si>
  <si>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</si>
  <si>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</si>
  <si>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</si>
  <si>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</si>
  <si>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</si>
  <si>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</si>
  <si>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</si>
  <si>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</si>
  <si>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</si>
  <si>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</si>
  <si>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</si>
  <si>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</si>
  <si>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</si>
  <si>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</si>
  <si>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</si>
  <si>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</si>
  <si>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</si>
  <si>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</si>
  <si>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</si>
  <si>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</si>
  <si>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</si>
  <si>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</si>
  <si>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</si>
  <si>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</si>
  <si>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</si>
  <si>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</si>
  <si>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</si>
  <si>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</si>
  <si>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</si>
  <si>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</si>
  <si>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</si>
  <si>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</si>
  <si>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</si>
  <si>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</si>
  <si>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</si>
  <si>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</si>
  <si>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</si>
  <si>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</si>
  <si>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</si>
  <si>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</si>
  <si>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</si>
  <si>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</si>
  <si>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</si>
  <si>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</si>
  <si>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</si>
  <si>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</si>
  <si>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</si>
  <si>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</si>
  <si>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</si>
  <si>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</si>
  <si>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</si>
  <si>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</si>
  <si>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</si>
  <si>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</si>
  <si>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</si>
  <si>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</si>
  <si>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</si>
  <si>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</si>
  <si>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</si>
  <si>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</si>
  <si>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</si>
  <si>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</si>
  <si>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</si>
  <si>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</si>
  <si>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</si>
  <si>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</si>
  <si>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</si>
  <si>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</si>
  <si>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</si>
  <si>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</si>
  <si>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</si>
  <si>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</si>
  <si>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</si>
  <si>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</si>
  <si>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</si>
  <si>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</si>
  <si>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</si>
  <si>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</si>
  <si>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</si>
  <si>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</si>
  <si>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</si>
  <si>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</si>
  <si>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</si>
  <si>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</si>
  <si>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</si>
  <si>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</si>
  <si>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</si>
  <si>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</si>
  <si>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</si>
  <si>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</si>
  <si>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</si>
  <si>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</si>
  <si>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</si>
  <si>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</si>
  <si>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</si>
  <si>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</si>
  <si>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</si>
  <si>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</si>
  <si>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</si>
  <si>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</si>
  <si>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</si>
  <si>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</si>
  <si>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</si>
  <si>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</si>
  <si>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</si>
  <si>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</si>
  <si>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</si>
  <si>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</si>
  <si>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</si>
  <si>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</si>
  <si>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</si>
  <si>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</si>
  <si>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</si>
  <si>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</si>
  <si>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</si>
  <si>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</si>
  <si>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</si>
  <si>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</si>
  <si>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</si>
  <si>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</si>
  <si>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</si>
  <si>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</si>
  <si>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</si>
  <si>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</si>
  <si>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</si>
  <si>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</si>
  <si>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</si>
  <si>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</si>
  <si>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</si>
  <si>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</si>
  <si>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</si>
  <si>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</si>
  <si>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</si>
  <si>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</si>
  <si>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</si>
  <si>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</si>
  <si>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</si>
  <si>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</si>
  <si>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</si>
  <si>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</si>
  <si>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</si>
  <si>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</si>
  <si>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</si>
  <si>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</si>
  <si>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</si>
  <si>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</si>
  <si>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</si>
  <si>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</si>
  <si>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</si>
  <si>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</si>
  <si>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</si>
  <si>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</si>
  <si>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</si>
  <si>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</si>
  <si>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</si>
  <si>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</si>
  <si>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</si>
  <si>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</si>
  <si>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</si>
  <si>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</si>
  <si>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</si>
  <si>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</si>
  <si>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</si>
  <si>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</si>
  <si>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</si>
  <si>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</si>
  <si>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</si>
  <si>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</si>
  <si>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</si>
  <si>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</si>
  <si>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</si>
  <si>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</si>
  <si>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</si>
  <si>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</si>
  <si>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</si>
  <si>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</si>
  <si>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</si>
  <si>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</si>
  <si>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</si>
  <si>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</si>
  <si>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</si>
  <si>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</si>
  <si>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</si>
  <si>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</si>
  <si>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</si>
  <si>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</si>
  <si>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</si>
  <si>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</si>
  <si>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</si>
  <si>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</si>
  <si>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</si>
  <si>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</si>
  <si>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</si>
  <si>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</si>
  <si>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</si>
  <si>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</si>
  <si>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</si>
  <si>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</si>
  <si>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</si>
  <si>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</si>
  <si>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</si>
  <si>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</si>
  <si>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</si>
  <si>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</si>
  <si>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</si>
  <si>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</si>
  <si>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</si>
  <si>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</si>
  <si>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</si>
  <si>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</si>
  <si>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</si>
  <si>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</si>
  <si>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</si>
  <si>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</si>
  <si>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</si>
  <si>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</si>
  <si>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</si>
  <si>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"</t>
  </si>
  <si>
    <t>All Stocks Analysis</t>
  </si>
  <si>
    <t>tickers (</t>
  </si>
  <si>
    <t>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</si>
</sst>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H1" sqref="H1"/>
    </sheetView>
  </sheetViews>
  <sheetFormatPr defaultColWidth="8.77734375" defaultRowHeight="14.4" x14ac:dyDescent="0.3"/>
  <sheetData>
    <row r="1" spans="1:9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9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9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9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v>5</v>
      </c>
    </row>
    <row r="6" spans="1:9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9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9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9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9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9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v>5</v>
      </c>
    </row>
    <row r="12" spans="1:9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9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R2" sqref="R2:R13"/>
    </sheetView>
  </sheetViews>
  <sheetFormatPr defaultColWidth="8.77734375" defaultRowHeight="14.4" x14ac:dyDescent="0.3"/>
  <cols>
    <col min="2" max="2" width="10.33203125" bestFit="1" customWidth="1"/>
    <col min="9" max="9" width="18" bestFit="1" customWidth="1"/>
  </cols>
  <sheetData>
    <row r="1" spans="1:1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 s="1" t="s">
        <v>0</v>
      </c>
    </row>
    <row r="2" spans="1:1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 t="s">
        <v>8</v>
      </c>
      <c r="M2" t="s">
        <v>528</v>
      </c>
      <c r="N2" s="2">
        <v>0</v>
      </c>
      <c r="O2" t="s">
        <v>529</v>
      </c>
      <c r="P2" t="s">
        <v>526</v>
      </c>
      <c r="Q2" s="2"/>
      <c r="R2" t="str">
        <f>_xlfn.CONCAT(M2,N2,O2,P2,K2,P2)</f>
        <v>tickers (0) ="AY"</v>
      </c>
    </row>
    <row r="3" spans="1:1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 t="s">
        <v>9</v>
      </c>
      <c r="M3" t="s">
        <v>528</v>
      </c>
      <c r="N3" s="2">
        <f>N2+1</f>
        <v>1</v>
      </c>
      <c r="O3" t="s">
        <v>529</v>
      </c>
      <c r="P3" t="s">
        <v>526</v>
      </c>
      <c r="Q3" s="2"/>
      <c r="R3" t="str">
        <f t="shared" ref="R3:R13" si="0">_xlfn.CONCAT(M3,N3,O3,P3,K3,P3)</f>
        <v>tickers (1) ="CSIQ"</v>
      </c>
    </row>
    <row r="4" spans="1:1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 t="s">
        <v>10</v>
      </c>
      <c r="M4" t="s">
        <v>528</v>
      </c>
      <c r="N4" s="2">
        <f t="shared" ref="N4:N13" si="1">N3+1</f>
        <v>2</v>
      </c>
      <c r="O4" t="s">
        <v>529</v>
      </c>
      <c r="P4" t="s">
        <v>526</v>
      </c>
      <c r="Q4" s="2"/>
      <c r="R4" t="str">
        <f t="shared" si="0"/>
        <v>tickers (2) ="DQ"</v>
      </c>
    </row>
    <row r="5" spans="1:1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K5" t="s">
        <v>11</v>
      </c>
      <c r="M5" t="s">
        <v>528</v>
      </c>
      <c r="N5" s="2">
        <f t="shared" si="1"/>
        <v>3</v>
      </c>
      <c r="O5" t="s">
        <v>529</v>
      </c>
      <c r="P5" t="s">
        <v>526</v>
      </c>
      <c r="Q5" s="2"/>
      <c r="R5" t="str">
        <f t="shared" si="0"/>
        <v>tickers (3) ="ENPH"</v>
      </c>
    </row>
    <row r="6" spans="1:1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K6" t="s">
        <v>12</v>
      </c>
      <c r="M6" t="s">
        <v>528</v>
      </c>
      <c r="N6" s="2">
        <f t="shared" si="1"/>
        <v>4</v>
      </c>
      <c r="O6" t="s">
        <v>529</v>
      </c>
      <c r="P6" t="s">
        <v>526</v>
      </c>
      <c r="Q6" s="2"/>
      <c r="R6" t="str">
        <f t="shared" si="0"/>
        <v>tickers (4) ="FSLR"</v>
      </c>
    </row>
    <row r="7" spans="1:1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K7" t="s">
        <v>13</v>
      </c>
      <c r="M7" t="s">
        <v>528</v>
      </c>
      <c r="N7" s="2">
        <f t="shared" si="1"/>
        <v>5</v>
      </c>
      <c r="O7" t="s">
        <v>529</v>
      </c>
      <c r="P7" t="s">
        <v>526</v>
      </c>
      <c r="Q7" s="2"/>
      <c r="R7" t="str">
        <f t="shared" si="0"/>
        <v>tickers (5) ="HASI"</v>
      </c>
    </row>
    <row r="8" spans="1:1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K8" t="s">
        <v>14</v>
      </c>
      <c r="M8" t="s">
        <v>528</v>
      </c>
      <c r="N8" s="2">
        <f t="shared" si="1"/>
        <v>6</v>
      </c>
      <c r="O8" t="s">
        <v>529</v>
      </c>
      <c r="P8" t="s">
        <v>526</v>
      </c>
      <c r="Q8" s="2"/>
      <c r="R8" t="str">
        <f t="shared" si="0"/>
        <v>tickers (6) ="JKS"</v>
      </c>
    </row>
    <row r="9" spans="1:1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K9" t="s">
        <v>15</v>
      </c>
      <c r="M9" t="s">
        <v>528</v>
      </c>
      <c r="N9" s="2">
        <f t="shared" si="1"/>
        <v>7</v>
      </c>
      <c r="O9" t="s">
        <v>529</v>
      </c>
      <c r="P9" t="s">
        <v>526</v>
      </c>
      <c r="Q9" s="2"/>
      <c r="R9" t="str">
        <f t="shared" si="0"/>
        <v>tickers (7) ="RUN"</v>
      </c>
    </row>
    <row r="10" spans="1:1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K10" t="s">
        <v>16</v>
      </c>
      <c r="M10" t="s">
        <v>528</v>
      </c>
      <c r="N10" s="2">
        <f t="shared" si="1"/>
        <v>8</v>
      </c>
      <c r="O10" t="s">
        <v>529</v>
      </c>
      <c r="P10" t="s">
        <v>526</v>
      </c>
      <c r="Q10" s="2"/>
      <c r="R10" t="str">
        <f t="shared" si="0"/>
        <v>tickers (8) ="SEDG"</v>
      </c>
    </row>
    <row r="11" spans="1:1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K11" t="s">
        <v>17</v>
      </c>
      <c r="M11" t="s">
        <v>528</v>
      </c>
      <c r="N11" s="2">
        <f t="shared" si="1"/>
        <v>9</v>
      </c>
      <c r="O11" t="s">
        <v>529</v>
      </c>
      <c r="P11" t="s">
        <v>526</v>
      </c>
      <c r="Q11" s="2"/>
      <c r="R11" t="str">
        <f t="shared" si="0"/>
        <v>tickers (9) ="SPWR"</v>
      </c>
    </row>
    <row r="12" spans="1:1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K12" t="s">
        <v>18</v>
      </c>
      <c r="M12" t="s">
        <v>528</v>
      </c>
      <c r="N12" s="2">
        <f t="shared" si="1"/>
        <v>10</v>
      </c>
      <c r="O12" t="s">
        <v>529</v>
      </c>
      <c r="P12" t="s">
        <v>526</v>
      </c>
      <c r="Q12" s="2"/>
      <c r="R12" t="str">
        <f t="shared" si="0"/>
        <v>tickers (10) ="TERP"</v>
      </c>
    </row>
    <row r="13" spans="1:1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K13" t="s">
        <v>19</v>
      </c>
      <c r="M13" t="s">
        <v>528</v>
      </c>
      <c r="N13" s="2">
        <f t="shared" si="1"/>
        <v>11</v>
      </c>
      <c r="O13" t="s">
        <v>529</v>
      </c>
      <c r="P13" t="s">
        <v>526</v>
      </c>
      <c r="Q13" s="2"/>
      <c r="R13" t="str">
        <f t="shared" si="0"/>
        <v>tickers (11) ="VSLR"</v>
      </c>
    </row>
    <row r="14" spans="1:1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BFB6-0DF5-4D7D-B619-8F4ED941B4A7}">
  <sheetPr codeName="Sheet4"/>
  <dimension ref="A1:C3018"/>
  <sheetViews>
    <sheetView tabSelected="1" workbookViewId="0">
      <selection activeCell="J6" sqref="J6"/>
    </sheetView>
  </sheetViews>
  <sheetFormatPr defaultRowHeight="14.4" x14ac:dyDescent="0.3"/>
  <cols>
    <col min="2" max="2" width="16.44140625" bestFit="1" customWidth="1"/>
    <col min="3" max="3" width="12.6640625" bestFit="1" customWidth="1"/>
  </cols>
  <sheetData>
    <row r="1" spans="1:3" x14ac:dyDescent="0.3">
      <c r="A1" t="s">
        <v>527</v>
      </c>
    </row>
    <row r="3" spans="1:3" x14ac:dyDescent="0.3">
      <c r="A3" t="s">
        <v>0</v>
      </c>
      <c r="B3" t="s">
        <v>525</v>
      </c>
      <c r="C3" t="s">
        <v>523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  <row r="3018" spans="1:3" x14ac:dyDescent="0.3">
      <c r="A3018" t="s">
        <v>19</v>
      </c>
      <c r="B3018">
        <v>136539100</v>
      </c>
      <c r="C3018">
        <v>-3.5443037974683574E-2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D8" sqref="D8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Sheet2</vt:lpstr>
      <vt:lpstr>'2018'!Criteria</vt:lpstr>
      <vt:lpstr>'2018'!Extract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2021-08-19T20:48:22Z</dcterms:modified>
</cp:coreProperties>
</file>